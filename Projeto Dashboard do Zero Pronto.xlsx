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urok\Desktop\ANDREIA PESSOAL\Bootcamp Kablim\"/>
    </mc:Choice>
  </mc:AlternateContent>
  <xr:revisionPtr revIDLastSave="0" documentId="8_{A3EFE9AC-69FA-4568-BA5E-3952C17A1FB5}" xr6:coauthVersionLast="47" xr6:coauthVersionMax="47" xr10:uidLastSave="{00000000-0000-0000-0000-000000000000}"/>
  <bookViews>
    <workbookView xWindow="20280" yWindow="-120" windowWidth="20730" windowHeight="11760" firstSheet="3" activeTab="3" xr2:uid="{28DD5B76-0634-4F87-BE60-8BFA7EF2E23B}"/>
  </bookViews>
  <sheets>
    <sheet name="B̳ases" sheetId="2" state="hidden" r:id="rId1"/>
    <sheet name="A̳ssets" sheetId="1" state="hidden" r:id="rId2"/>
    <sheet name="Calculo" sheetId="6" state="hidden" r:id="rId3"/>
    <sheet name="Dash" sheetId="7" r:id="rId4"/>
  </sheets>
  <definedNames>
    <definedName name="SegmentaçãodeDados_Auto_Renewal">#N/A</definedName>
    <definedName name="SegmentaçãodeDados_Plan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6" l="1"/>
  <c r="D9" i="6"/>
</calcChain>
</file>

<file path=xl/sharedStrings.xml><?xml version="1.0" encoding="utf-8"?>
<sst xmlns="http://schemas.openxmlformats.org/spreadsheetml/2006/main" count="2025" uniqueCount="322">
  <si>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</si>
  <si>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</si>
  <si>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</si>
  <si>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</si>
  <si>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</si>
  <si>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</si>
  <si>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</si>
  <si>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</si>
  <si>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</si>
  <si>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</si>
  <si>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</si>
  <si>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</si>
  <si>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</si>
  <si>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</si>
  <si>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</si>
  <si>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</si>
  <si>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</si>
  <si>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</si>
  <si>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</si>
  <si>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</si>
  <si>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</si>
  <si>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</si>
  <si>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</si>
  <si>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</si>
  <si>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</si>
  <si>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</si>
  <si>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</si>
  <si>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</si>
  <si>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</si>
  <si>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</si>
  <si>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</si>
  <si>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</si>
  <si>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</si>
  <si>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</si>
  <si>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</si>
  <si>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</si>
  <si>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</si>
  <si>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</si>
  <si>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</si>
  <si>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</si>
  <si>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</si>
  <si>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</si>
  <si>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</si>
  <si>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</si>
  <si>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</si>
  <si>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</si>
  <si>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</si>
  <si>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</si>
  <si>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</si>
  <si>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</si>
  <si>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</si>
  <si>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</si>
  <si>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</si>
  <si>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</si>
  <si>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</si>
  <si>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</si>
  <si>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</si>
  <si>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</si>
  <si>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</si>
  <si>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</si>
  <si>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</si>
  <si>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</si>
  <si>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</si>
  <si>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</si>
  <si>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</si>
  <si>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</si>
  <si>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</si>
  <si>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</si>
  <si>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</si>
  <si>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</si>
  <si>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</si>
  <si>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</si>
  <si>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</si>
  <si>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</si>
  <si>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</si>
  <si>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</si>
  <si>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</si>
  <si>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</si>
  <si>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</si>
  <si>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</si>
  <si>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</si>
  <si>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</si>
  <si>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</si>
  <si>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</si>
  <si>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</si>
  <si>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</si>
  <si>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</si>
  <si>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</si>
  <si>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</si>
  <si>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</si>
  <si>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</si>
  <si>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</si>
  <si>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</si>
  <si>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</si>
  <si>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</si>
  <si>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</si>
  <si>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</si>
  <si>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</si>
  <si>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</si>
  <si>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</si>
  <si>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</si>
  <si>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</si>
  <si>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</si>
  <si>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</si>
  <si>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</si>
  <si>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</si>
  <si>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</si>
  <si>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</si>
  <si>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</si>
  <si>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</si>
  <si>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</si>
  <si>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</si>
  <si>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</si>
  <si>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</si>
  <si>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</si>
  <si>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</si>
  <si>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</si>
  <si>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</si>
  <si>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</si>
  <si>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</si>
  <si>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</si>
  <si>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</si>
  <si>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</si>
  <si>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</si>
  <si>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</si>
  <si>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</si>
  <si>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</si>
  <si>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</si>
  <si>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</si>
  <si>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</si>
  <si>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</si>
  <si>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</si>
  <si>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</si>
  <si>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</si>
  <si>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</si>
  <si>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</si>
  <si>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</si>
  <si>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</si>
  <si>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</si>
  <si>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</si>
  <si>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</si>
  <si>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</si>
  <si>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</si>
  <si>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</si>
  <si>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</si>
  <si>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</si>
  <si>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</si>
  <si>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</si>
  <si>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</si>
  <si>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</si>
  <si>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</si>
  <si>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</si>
  <si>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</si>
  <si>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</si>
  <si>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</si>
  <si>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</si>
  <si>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</si>
  <si>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</si>
  <si>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</si>
  <si>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</si>
  <si>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</si>
  <si>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</si>
  <si>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</si>
  <si>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</si>
  <si>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</si>
  <si>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</si>
  <si>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</si>
  <si>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</si>
  <si>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</si>
  <si>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</si>
  <si>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</si>
  <si>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</si>
  <si>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</si>
  <si>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</si>
  <si>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</si>
  <si>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</si>
  <si>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</si>
  <si>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</si>
  <si>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</si>
  <si>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</si>
  <si>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</si>
  <si>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</si>
  <si>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</si>
  <si>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</si>
  <si>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</si>
  <si>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</si>
  <si>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</si>
  <si>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</si>
  <si>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</si>
  <si>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</si>
  <si>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</si>
  <si>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</si>
  <si>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</si>
  <si>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</si>
  <si>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</si>
  <si>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</si>
  <si>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</si>
  <si>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</si>
  <si>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</si>
  <si>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</si>
  <si>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</si>
  <si>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</si>
  <si>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</si>
  <si>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</si>
  <si>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</si>
  <si>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</si>
  <si>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</si>
  <si>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</si>
  <si>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</si>
  <si>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</si>
  <si>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</si>
  <si>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</si>
  <si>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</si>
  <si>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</si>
  <si>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</si>
  <si>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</si>
  <si>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</si>
  <si>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</si>
  <si>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</si>
  <si>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</si>
  <si>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</si>
  <si>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</si>
  <si>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</si>
  <si>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</si>
  <si>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</si>
  <si>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</si>
  <si>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</si>
  <si>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</si>
  <si>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</si>
  <si>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</si>
  <si>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</si>
  <si>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</si>
  <si>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</si>
  <si>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</si>
  <si>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</si>
  <si>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</si>
  <si>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</si>
  <si>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</si>
  <si>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</si>
  <si>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</si>
  <si>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</si>
  <si>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</si>
  <si>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</si>
  <si>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</si>
  <si>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</si>
  <si>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</si>
  <si>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</si>
  <si>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</si>
  <si>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</si>
  <si>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</si>
  <si>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</si>
  <si>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</si>
  <si>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</si>
  <si>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</si>
  <si>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</si>
  <si>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</si>
  <si>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</si>
  <si>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</si>
  <si>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</si>
  <si>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</si>
  <si>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</si>
  <si>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</si>
  <si>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</si>
  <si>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</si>
  <si>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</si>
  <si>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</si>
  <si>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</si>
  <si>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</si>
  <si>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</si>
  <si>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</si>
  <si>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</si>
  <si>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</si>
  <si>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</si>
  <si>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</si>
  <si>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</si>
  <si>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</si>
  <si>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</si>
  <si>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</si>
  <si>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</si>
  <si>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</si>
  <si>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</si>
  <si>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</si>
  <si>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</si>
  <si>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</si>
  <si>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</si>
  <si>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</si>
  <si>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</si>
  <si>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</si>
  <si>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</si>
  <si>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</si>
  <si>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</si>
  <si>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</si>
  <si>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</si>
  <si>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</si>
  <si>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</si>
  <si>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</si>
  <si>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</si>
  <si>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</si>
  <si>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</si>
  <si>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</si>
  <si>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</si>
  <si>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</si>
  <si>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</si>
  <si>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</si>
  <si>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</si>
  <si>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</si>
  <si>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</si>
  <si>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</si>
  <si>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</si>
  <si>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</si>
  <si>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</si>
  <si>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</si>
  <si>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</si>
  <si>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Pergunta de negócio 1 - Qual é o faturamento total por tipo de plano (Core, Standard, Ultimate)?  </t>
  </si>
  <si>
    <t>Rótulos de Linha</t>
  </si>
  <si>
    <t>Total Geral</t>
  </si>
  <si>
    <t>(Tudo)</t>
  </si>
  <si>
    <t>Soma de Total Value</t>
  </si>
  <si>
    <t xml:space="preserve">Pergunta de negócio 2 - Qual é a distribuição de assinaturas por periodicidade (Mensal, Trimestral, Anual)?  </t>
  </si>
  <si>
    <t>Pergunta 3 - Qual é o percentual de assinaturas com auto-renovação ativada vs. desativada?</t>
  </si>
  <si>
    <t>XBOX GAME PASS SOBSCRIPTONS SALES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</si>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</sst>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5" formatCode="&quot;R$&quot;\ #,##0.00"/>
    <numFmt numFmtId="170" formatCode="0.0%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9BC84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0" fillId="0" borderId="0" xfId="0" applyNumberFormat="1"/>
    <xf numFmtId="0" fontId="0" fillId="8" borderId="0" xfId="0" applyFill="1"/>
    <xf numFmtId="0" fontId="3" fillId="0" borderId="0" xfId="0" applyFont="1"/>
    <xf numFmtId="0" fontId="1" fillId="0" borderId="1" xfId="1" applyAlignment="1">
      <alignment horizontal="left" vertical="center" indent="6"/>
    </xf>
    <xf numFmtId="170" fontId="0" fillId="0" borderId="0" xfId="0" applyNumberFormat="1" applyAlignment="1">
      <alignment horizontal="center"/>
    </xf>
  </cellXfs>
  <cellStyles count="3">
    <cellStyle name="Moeda" xfId="2" builtinId="4"/>
    <cellStyle name="Normal" xfId="0" builtinId="0"/>
    <cellStyle name="Título 1" xfId="1" builtinId="16" customBuiltin="1"/>
  </cellStyles>
  <dxfs count="5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9BC848"/>
        </patternFill>
      </fill>
      <border diagonalUp="0" diagonalDown="0">
        <left/>
        <right/>
        <top/>
        <bottom/>
        <vertical/>
        <horizontal/>
      </border>
    </dxf>
    <dxf>
      <alignment horizontal="center"/>
    </dxf>
    <dxf>
      <alignment horizontal="center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642B37D-966B-44B1-A718-F141798ECBD9}">
      <tableStyleElement type="wholeTable" dxfId="41"/>
      <tableStyleElement type="headerRow" dxfId="40"/>
    </tableStyle>
  </tableStyles>
  <colors>
    <mruColors>
      <color rgb="FF9BC848"/>
      <color rgb="FFFFFFFF"/>
      <color rgb="FF22C55E"/>
      <color rgb="FFE8E6E9"/>
      <color rgb="FF5BF6A8"/>
      <color rgb="FF000000"/>
      <color rgb="FFE0E0E0"/>
      <color rgb="FFEDEDED"/>
      <color rgb="FFF7F8FC"/>
      <color rgb="FF2AE6B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 do Zero Pronto.xlsx]Calculo!Tabela_valor_planos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258489812091288"/>
          <c:y val="0.10809714970178495"/>
          <c:w val="0.67810798233744651"/>
          <c:h val="0.773978686987176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Calculo!$A$6:$A$9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Calculo!$B$6:$B$9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1-4311-B6F4-E0F5A7251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2502255"/>
        <c:axId val="1402506095"/>
      </c:barChart>
      <c:catAx>
        <c:axId val="140250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2506095"/>
        <c:crosses val="autoZero"/>
        <c:auto val="1"/>
        <c:lblAlgn val="ctr"/>
        <c:lblOffset val="100"/>
        <c:noMultiLvlLbl val="0"/>
      </c:catAx>
      <c:valAx>
        <c:axId val="1402506095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0250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 do Zero Pronto.xlsx]Calculo!Tabela_valor_período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688500776778202"/>
          <c:y val="0.25794921058685172"/>
          <c:w val="0.78953791867488587"/>
          <c:h val="0.64869089931215917"/>
        </c:manualLayout>
      </c:layout>
      <c:pie3DChart>
        <c:varyColors val="1"/>
        <c:ser>
          <c:idx val="0"/>
          <c:order val="0"/>
          <c:tx>
            <c:strRef>
              <c:f>Calculo!$B$18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4F-4924-8A05-58BF804FEF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4F-4924-8A05-58BF804FEF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4F-4924-8A05-58BF804FEF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Calculo!$A$19:$A$22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Calculo!$B$19:$B$22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4F-4924-8A05-58BF804FE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 do Zero Pronto.xlsx]Calculo!Tabela dinâmica3</c:name>
    <c:fmtId val="6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5.4166666666666669E-2"/>
              <c:y val="-3.8897325150397885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6.666666666666668E-2"/>
              <c:y val="-7.1310938985677099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9.1666666666666702E-2"/>
              <c:y val="4.6676790180477462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9.5833333333333409E-2"/>
              <c:y val="-0.13225090551135288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9.5833333333333409E-2"/>
              <c:y val="-0.13225090551135288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9.1666666666666702E-2"/>
              <c:y val="4.6676790180477462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.12500009842527426"/>
              <c:y val="-0.311610321478492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0.23000018110250486"/>
              <c:y val="0.194756450924058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61220472440945"/>
          <c:y val="0.28099856478058538"/>
          <c:w val="0.23275623359580053"/>
          <c:h val="0.43457255514997523"/>
        </c:manualLayout>
      </c:layout>
      <c:doughnutChart>
        <c:varyColors val="1"/>
        <c:ser>
          <c:idx val="0"/>
          <c:order val="0"/>
          <c:tx>
            <c:strRef>
              <c:f>Calculo!$G$5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F4-4A61-A65A-4C1205E054D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F4-4A61-A65A-4C1205E054DE}"/>
              </c:ext>
            </c:extLst>
          </c:dPt>
          <c:dLbls>
            <c:dLbl>
              <c:idx val="0"/>
              <c:layout>
                <c:manualLayout>
                  <c:x val="0.12500009842527426"/>
                  <c:y val="-0.31161032147849288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4-4A61-A65A-4C1205E054DE}"/>
                </c:ext>
              </c:extLst>
            </c:dLbl>
            <c:dLbl>
              <c:idx val="1"/>
              <c:layout>
                <c:manualLayout>
                  <c:x val="-0.23000018110250486"/>
                  <c:y val="0.1947564509240580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4-4A61-A65A-4C1205E054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Calculo!$F$6:$F$8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Calculo!$G$6:$G$8</c:f>
              <c:numCache>
                <c:formatCode>0.0%</c:formatCode>
                <c:ptCount val="2"/>
                <c:pt idx="0">
                  <c:v>0.49830508474576274</c:v>
                </c:pt>
                <c:pt idx="1">
                  <c:v>0.50169491525423726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F4-4A61-A65A-4C1205E054D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3.xml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21336</xdr:colOff>
      <xdr:row>0</xdr:row>
      <xdr:rowOff>95251</xdr:rowOff>
    </xdr:from>
    <xdr:to>
      <xdr:col>2</xdr:col>
      <xdr:colOff>9525</xdr:colOff>
      <xdr:row>1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4D83BC-ED0E-4FEB-9978-82F3A11C8A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5194" t="-4968" r="67531" b="-18923"/>
        <a:stretch>
          <a:fillRect/>
        </a:stretch>
      </xdr:blipFill>
      <xdr:spPr>
        <a:xfrm>
          <a:off x="1554861" y="95251"/>
          <a:ext cx="673989" cy="581024"/>
        </a:xfrm>
        <a:prstGeom prst="rect">
          <a:avLst/>
        </a:prstGeom>
      </xdr:spPr>
    </xdr:pic>
    <xdr:clientData/>
  </xdr:twoCellAnchor>
  <xdr:twoCellAnchor editAs="absolute">
    <xdr:from>
      <xdr:col>0</xdr:col>
      <xdr:colOff>171004</xdr:colOff>
      <xdr:row>4</xdr:row>
      <xdr:rowOff>161385</xdr:rowOff>
    </xdr:from>
    <xdr:to>
      <xdr:col>0</xdr:col>
      <xdr:colOff>1456879</xdr:colOff>
      <xdr:row>11</xdr:row>
      <xdr:rowOff>48327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lan">
              <a:extLst>
                <a:ext uri="{FF2B5EF4-FFF2-40B4-BE49-F238E27FC236}">
                  <a16:creationId xmlns:a16="http://schemas.microsoft.com/office/drawing/2014/main" id="{6D1976AA-6FFF-4E99-AFAC-F582104E42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004" y="1287820"/>
              <a:ext cx="1285875" cy="12370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297346</xdr:colOff>
      <xdr:row>11</xdr:row>
      <xdr:rowOff>115864</xdr:rowOff>
    </xdr:from>
    <xdr:to>
      <xdr:col>0</xdr:col>
      <xdr:colOff>1440346</xdr:colOff>
      <xdr:row>17</xdr:row>
      <xdr:rowOff>178681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Auto Renewal">
              <a:extLst>
                <a:ext uri="{FF2B5EF4-FFF2-40B4-BE49-F238E27FC236}">
                  <a16:creationId xmlns:a16="http://schemas.microsoft.com/office/drawing/2014/main" id="{59577F9C-9726-4380-9D54-0B3E646052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346" y="2592364"/>
              <a:ext cx="1143000" cy="11561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652395</xdr:colOff>
      <xdr:row>1</xdr:row>
      <xdr:rowOff>123825</xdr:rowOff>
    </xdr:from>
    <xdr:to>
      <xdr:col>12</xdr:col>
      <xdr:colOff>659421</xdr:colOff>
      <xdr:row>5</xdr:row>
      <xdr:rowOff>73270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924B1B70-0DAF-88EF-9353-83C3DBB2E88B}"/>
            </a:ext>
          </a:extLst>
        </xdr:cNvPr>
        <xdr:cNvGrpSpPr/>
      </xdr:nvGrpSpPr>
      <xdr:grpSpPr>
        <a:xfrm>
          <a:off x="2184678" y="695325"/>
          <a:ext cx="7569047" cy="761141"/>
          <a:chOff x="1809750" y="752475"/>
          <a:chExt cx="3200400" cy="914400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F7618014-FB92-9D58-2AFC-911450FB56DB}"/>
              </a:ext>
            </a:extLst>
          </xdr:cNvPr>
          <xdr:cNvSpPr/>
        </xdr:nvSpPr>
        <xdr:spPr>
          <a:xfrm>
            <a:off x="1809750" y="762000"/>
            <a:ext cx="3200400" cy="9048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alculo!D22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39770252-9B4C-4EDB-8175-27BBA61B533B}"/>
              </a:ext>
            </a:extLst>
          </xdr:cNvPr>
          <xdr:cNvSpPr/>
        </xdr:nvSpPr>
        <xdr:spPr>
          <a:xfrm>
            <a:off x="3040273" y="1034519"/>
            <a:ext cx="649468" cy="5715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0E574BBA-084A-493C-A5E1-9B6CB5F0228F}" type="TxLink">
              <a:rPr lang="en-US" sz="1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R$ 7.633,00</a:t>
            </a:fld>
            <a:endParaRPr lang="pt-BR" sz="1800" b="1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FF9975A5-30A7-0C7F-0BF3-CB1BCE1401AA}"/>
              </a:ext>
            </a:extLst>
          </xdr:cNvPr>
          <xdr:cNvSpPr/>
        </xdr:nvSpPr>
        <xdr:spPr>
          <a:xfrm>
            <a:off x="1812716" y="752475"/>
            <a:ext cx="3168471" cy="266700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POR PERÍODO</a:t>
            </a: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2</xdr:col>
      <xdr:colOff>28575</xdr:colOff>
      <xdr:row>6</xdr:row>
      <xdr:rowOff>73270</xdr:rowOff>
    </xdr:from>
    <xdr:to>
      <xdr:col>6</xdr:col>
      <xdr:colOff>554935</xdr:colOff>
      <xdr:row>14</xdr:row>
      <xdr:rowOff>58617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0BE2AF4A-9F4E-236C-6D34-427536F75D90}"/>
            </a:ext>
          </a:extLst>
        </xdr:cNvPr>
        <xdr:cNvGrpSpPr/>
      </xdr:nvGrpSpPr>
      <xdr:grpSpPr>
        <a:xfrm>
          <a:off x="2248314" y="1638683"/>
          <a:ext cx="3276186" cy="1443086"/>
          <a:chOff x="1655152" y="1619250"/>
          <a:chExt cx="3297848" cy="1537921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053D7FEE-9B69-2915-7FC8-58914F8AEBFA}"/>
              </a:ext>
            </a:extLst>
          </xdr:cNvPr>
          <xdr:cNvGrpSpPr/>
        </xdr:nvGrpSpPr>
        <xdr:grpSpPr>
          <a:xfrm>
            <a:off x="1655152" y="1760661"/>
            <a:ext cx="3297848" cy="1396510"/>
            <a:chOff x="1695450" y="933451"/>
            <a:chExt cx="3362325" cy="175260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D21351A0-C09A-C43B-FCF1-488D331F2591}"/>
                </a:ext>
              </a:extLst>
            </xdr:cNvPr>
            <xdr:cNvSpPr/>
          </xdr:nvSpPr>
          <xdr:spPr>
            <a:xfrm>
              <a:off x="1695450" y="933451"/>
              <a:ext cx="3362325" cy="1752600"/>
            </a:xfrm>
            <a:prstGeom prst="roundRect">
              <a:avLst>
                <a:gd name="adj" fmla="val 742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9FA49DC-258D-4E52-ADD1-DA02D0A11A7C}"/>
                </a:ext>
              </a:extLst>
            </xdr:cNvPr>
            <xdr:cNvGraphicFramePr>
              <a:graphicFrameLocks/>
            </xdr:cNvGraphicFramePr>
          </xdr:nvGraphicFramePr>
          <xdr:xfrm>
            <a:off x="1819275" y="990600"/>
            <a:ext cx="3049657" cy="163995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F84827B9-157C-4226-AD21-683913A95964}"/>
              </a:ext>
            </a:extLst>
          </xdr:cNvPr>
          <xdr:cNvSpPr/>
        </xdr:nvSpPr>
        <xdr:spPr>
          <a:xfrm>
            <a:off x="1655885" y="1619250"/>
            <a:ext cx="3289788" cy="268410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 baseline="0"/>
              <a:t>TOTAL VALOR POR PLANO</a:t>
            </a: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1</xdr:col>
      <xdr:colOff>685067</xdr:colOff>
      <xdr:row>17</xdr:row>
      <xdr:rowOff>65942</xdr:rowOff>
    </xdr:from>
    <xdr:to>
      <xdr:col>6</xdr:col>
      <xdr:colOff>510686</xdr:colOff>
      <xdr:row>25</xdr:row>
      <xdr:rowOff>23447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EC81D2B2-DA90-9140-8F6B-6E29324604BD}"/>
            </a:ext>
          </a:extLst>
        </xdr:cNvPr>
        <xdr:cNvGrpSpPr/>
      </xdr:nvGrpSpPr>
      <xdr:grpSpPr>
        <a:xfrm>
          <a:off x="2217350" y="3635746"/>
          <a:ext cx="3262901" cy="1415244"/>
          <a:chOff x="1696183" y="3172557"/>
          <a:chExt cx="3269273" cy="1422890"/>
        </a:xfrm>
      </xdr:grpSpPr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9F23886C-3D7B-42F4-A843-997D6B070681}"/>
              </a:ext>
            </a:extLst>
          </xdr:cNvPr>
          <xdr:cNvGraphicFramePr>
            <a:graphicFrameLocks/>
          </xdr:cNvGraphicFramePr>
        </xdr:nvGraphicFramePr>
        <xdr:xfrm>
          <a:off x="1696183" y="3360859"/>
          <a:ext cx="3269273" cy="12345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AB304623-71F6-444B-85D3-D7CC1E42DABB}"/>
              </a:ext>
            </a:extLst>
          </xdr:cNvPr>
          <xdr:cNvSpPr/>
        </xdr:nvSpPr>
        <xdr:spPr>
          <a:xfrm>
            <a:off x="1699846" y="3172557"/>
            <a:ext cx="3245827" cy="268410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 baseline="0"/>
              <a:t>TOTAL VALOR BRENOVAÇÃO AUTOMÁTICA</a:t>
            </a:r>
          </a:p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0</xdr:col>
      <xdr:colOff>344365</xdr:colOff>
      <xdr:row>0</xdr:row>
      <xdr:rowOff>190500</xdr:rowOff>
    </xdr:from>
    <xdr:to>
      <xdr:col>0</xdr:col>
      <xdr:colOff>1115890</xdr:colOff>
      <xdr:row>2</xdr:row>
      <xdr:rowOff>85725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6BEF8548-8E83-4649-8AB3-C83C1FBC4D5C}"/>
            </a:ext>
          </a:extLst>
        </xdr:cNvPr>
        <xdr:cNvSpPr/>
      </xdr:nvSpPr>
      <xdr:spPr>
        <a:xfrm>
          <a:off x="344365" y="190500"/>
          <a:ext cx="771525" cy="6572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102577</xdr:colOff>
      <xdr:row>3</xdr:row>
      <xdr:rowOff>0</xdr:rowOff>
    </xdr:from>
    <xdr:to>
      <xdr:col>0</xdr:col>
      <xdr:colOff>1428750</xdr:colOff>
      <xdr:row>4</xdr:row>
      <xdr:rowOff>58616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9363C7FB-E342-B081-ABB8-219A5ECD3791}"/>
            </a:ext>
          </a:extLst>
        </xdr:cNvPr>
        <xdr:cNvSpPr/>
      </xdr:nvSpPr>
      <xdr:spPr>
        <a:xfrm>
          <a:off x="102577" y="945173"/>
          <a:ext cx="1326173" cy="24178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&gt; bem</a:t>
          </a:r>
          <a:r>
            <a:rPr lang="pt-BR" sz="1100" baseline="0"/>
            <a:t> vindo Felipão</a:t>
          </a:r>
          <a:endParaRPr lang="pt-BR" sz="1100"/>
        </a:p>
      </xdr:txBody>
    </xdr:sp>
    <xdr:clientData/>
  </xdr:twoCellAnchor>
  <xdr:twoCellAnchor editAs="absolute">
    <xdr:from>
      <xdr:col>0</xdr:col>
      <xdr:colOff>158326</xdr:colOff>
      <xdr:row>18</xdr:row>
      <xdr:rowOff>3953</xdr:rowOff>
    </xdr:from>
    <xdr:to>
      <xdr:col>0</xdr:col>
      <xdr:colOff>1491826</xdr:colOff>
      <xdr:row>25</xdr:row>
      <xdr:rowOff>24531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2" name="tab_percentual">
              <a:extLst>
                <a:ext uri="{FF2B5EF4-FFF2-40B4-BE49-F238E27FC236}">
                  <a16:creationId xmlns:a16="http://schemas.microsoft.com/office/drawing/2014/main" id="{C262B908-018C-4417-A940-D41D89D609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b_percentu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326" y="3755975"/>
              <a:ext cx="1333500" cy="1296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113789</xdr:colOff>
      <xdr:row>6</xdr:row>
      <xdr:rowOff>73270</xdr:rowOff>
    </xdr:from>
    <xdr:to>
      <xdr:col>12</xdr:col>
      <xdr:colOff>635555</xdr:colOff>
      <xdr:row>14</xdr:row>
      <xdr:rowOff>117231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187E443B-991E-0450-21F3-6968681AD342}"/>
            </a:ext>
          </a:extLst>
        </xdr:cNvPr>
        <xdr:cNvGrpSpPr/>
      </xdr:nvGrpSpPr>
      <xdr:grpSpPr>
        <a:xfrm>
          <a:off x="6458267" y="1638683"/>
          <a:ext cx="3271592" cy="1501700"/>
          <a:chOff x="7272193" y="1853713"/>
          <a:chExt cx="2853613" cy="1509345"/>
        </a:xfrm>
      </xdr:grpSpPr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7F31CB48-DE08-446D-A776-173EEB1DE73A}"/>
              </a:ext>
            </a:extLst>
          </xdr:cNvPr>
          <xdr:cNvGraphicFramePr>
            <a:graphicFrameLocks/>
          </xdr:cNvGraphicFramePr>
        </xdr:nvGraphicFramePr>
        <xdr:xfrm>
          <a:off x="7272193" y="2058865"/>
          <a:ext cx="2831633" cy="130419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D9E22105-BA65-4D7C-9FD4-E0AB83DC7EAF}"/>
              </a:ext>
            </a:extLst>
          </xdr:cNvPr>
          <xdr:cNvSpPr/>
        </xdr:nvSpPr>
        <xdr:spPr>
          <a:xfrm>
            <a:off x="7275633" y="1853713"/>
            <a:ext cx="2850173" cy="253193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 baseline="0"/>
              <a:t>% POR PLANO</a:t>
            </a:r>
          </a:p>
          <a:p>
            <a:pPr algn="l"/>
            <a:endParaRPr lang="pt-BR" sz="1100"/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54035FCA-E48A-8822-FBA5-B0E7EF49A81C}"/>
            </a:ext>
          </a:extLst>
        </cdr:cNvPr>
        <cdr:cNvSpPr/>
      </cdr:nvSpPr>
      <cdr:spPr>
        <a:xfrm xmlns:a="http://schemas.openxmlformats.org/drawingml/2006/main">
          <a:off x="0" y="0"/>
          <a:ext cx="2831633" cy="130419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rok" refreshedDate="46183.690714699071" createdVersion="8" refreshedVersion="8" minRefreshableVersion="3" recordCount="295" xr:uid="{1351480F-54C8-4260-8599-4BF347EB130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986880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C4218-AA47-471B-8549-E488D066CCD6}" name="Tabela_percentual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G19:H22" firstHeaderRow="1" firstDataRow="1" firstDataCol="1" rowPageCount="1" colPageCount="1"/>
  <pivotFields count="13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multipleItemSelectionAllowed="1"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%" fld="0" subtotal="count" showDataAs="percentOfCol" baseField="4" baseItem="0" numFmtId="170"/>
  </dataFields>
  <formats count="2">
    <format dxfId="18">
      <pivotArea outline="0" collapsedLevelsAreSubtotals="1" fieldPosition="0"/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"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BC765-FDE8-41B3-8334-EB581D6852C7}" name="Tabela dinâmica3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F5:G8" firstHeaderRow="1" firstDataRow="1" firstDataCol="1" rowPageCount="1" colPageCount="1"/>
  <pivotFields count="13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multipleItemSelectionAllowed="1"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%" fld="0" subtotal="count" showDataAs="percentOfCol" baseField="4" baseItem="0" numFmtId="170"/>
  </dataFields>
  <formats count="2"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"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E7C19-BE3F-4AEC-9EB8-6508F60CCE06}" name="Tabela_valor_período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A18:B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Page" showAll="0">
      <items count="3">
        <item x="1"/>
        <item x="0"/>
        <item t="default"/>
      </items>
    </pivotField>
    <pivotField numFmtId="44" showAll="0"/>
    <pivotField axis="axisRow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Soma de Total Value" fld="12" baseField="0" baseItem="0" numFmtId="44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8F276-3F0B-4F73-BE52-3FA4C3BA4325}" name="Tabela_valor_planos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A5:B9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D0715BB3-E8B8-4700-A6E6-5E53E18A8066}" sourceName="Plan">
  <pivotTables>
    <pivotTable tabId="6" name="Tabela_valor_planos"/>
    <pivotTable tabId="6" name="Tabela_valor_período"/>
    <pivotTable tabId="6" name="Tabela dinâmica3"/>
    <pivotTable tabId="6" name="Tabela_percentual"/>
  </pivotTables>
  <data>
    <tabular pivotCacheId="1098688040" customListSort="0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B2520B09-B09C-49A4-AF79-7EAD84C66139}" sourceName="Auto Renewal">
  <pivotTables>
    <pivotTable tabId="6" name="Tabela_valor_período"/>
  </pivotTables>
  <data>
    <tabular pivotCacheId="1098688040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C5EA146B-EA5F-42AE-8BCC-36F943BD8914}" cache="SegmentaçãodeDados_Plan" caption="Plan" style="SlicerStyleLight6 2" rowHeight="257175"/>
  <slicer name="tab_percentual" xr10:uid="{378263C3-8199-4445-8F62-C31F7B1D5E56}" cache="SegmentaçãodeDados_Plan" caption="Plan" style="SlicerStyleLight6 2" rowHeight="257175"/>
  <slicer name="Auto Renewal" xr10:uid="{47B11E20-4CE8-454E-82C3-881D6065E31E}" cache="SegmentaçãodeDados_Auto_Renewal" caption="Auto Renewal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57">
  <autoFilter ref="A1:M296" xr:uid="{34E0E886-4200-4B36-97B3-63DB74FF40A0}"/>
  <tableColumns count="13">
    <tableColumn id="1" xr3:uid="{C4A90516-688A-46BF-9167-EA16C2A8A652}" name="Subscriber ID" dataDxfId="56"/>
    <tableColumn id="2" xr3:uid="{53DD39D0-2220-4121-9E9D-4EAA7E151C0F}" name="Name" dataDxfId="55"/>
    <tableColumn id="3" xr3:uid="{4F5FF271-4C57-4BE0-8F2C-F82C8551625C}" name="Plan" dataDxfId="54"/>
    <tableColumn id="4" xr3:uid="{8C17EB93-79B9-4E55-B8F7-BEB82F8253E9}" name="Start Date" dataDxfId="53"/>
    <tableColumn id="5" xr3:uid="{48CEDF9B-1689-482A-A828-5CCE7713264A}" name="Auto Renewal" dataDxfId="52"/>
    <tableColumn id="6" xr3:uid="{78B82374-9AA7-4E38-AE4F-78CDE6C83720}" name="Subscription Price" dataDxfId="51" dataCellStyle="Moeda"/>
    <tableColumn id="7" xr3:uid="{F2433F68-AF33-49D0-B1FB-19A396074EDE}" name="Subscription Type" dataDxfId="50"/>
    <tableColumn id="8" xr3:uid="{FD4D9C95-F6E5-4933-9068-A71FF7DF9343}" name="EA Play Season Pass" dataDxfId="49"/>
    <tableColumn id="13" xr3:uid="{978DD0D2-834E-4CE4-A39B-30976086932F}" name="EA Play Season Pass_x000a_Price" dataDxfId="48" dataCellStyle="Moeda"/>
    <tableColumn id="9" xr3:uid="{6E29F111-C395-4580-9DAD-3407D9E8B1A4}" name="Minecraft Season Pass" dataDxfId="47"/>
    <tableColumn id="10" xr3:uid="{EF544EAA-7F25-4FD5-A10E-8E62804DB9E3}" name="Minecraft Season Pass Price" dataDxfId="46" dataCellStyle="Moeda"/>
    <tableColumn id="11" xr3:uid="{7F6EB64A-1F07-4E48-9F0F-AC7D9DCD26F8}" name="Coupon Value" dataDxfId="45" dataCellStyle="Moeda"/>
    <tableColumn id="12" xr3:uid="{2B04ABC8-DE6F-426E-ADC0-D8AFC68CA58E}" name="Total Value" dataDxfId="4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85" zoomScaleNormal="85" workbookViewId="0">
      <selection activeCell="O8" sqref="O8"/>
    </sheetView>
  </sheetViews>
  <sheetFormatPr defaultRowHeight="14.25" x14ac:dyDescent="0.2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20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 x14ac:dyDescent="0.2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O8" sqref="O8"/>
    </sheetView>
  </sheetViews>
  <sheetFormatPr defaultRowHeight="14.25" x14ac:dyDescent="0.2"/>
  <cols>
    <col min="9" max="9" width="3.6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2"/>
    <row r="5" spans="2:16" x14ac:dyDescent="0.2">
      <c r="B5" s="3" t="s">
        <v>2</v>
      </c>
      <c r="C5" t="s">
        <v>8</v>
      </c>
      <c r="E5" s="7" t="s">
        <v>6</v>
      </c>
      <c r="F5" t="s">
        <v>7</v>
      </c>
    </row>
    <row r="6" spans="2:16" x14ac:dyDescent="0.2">
      <c r="B6" s="4" t="s">
        <v>3</v>
      </c>
      <c r="C6" t="s">
        <v>8</v>
      </c>
    </row>
    <row r="7" spans="2:16" x14ac:dyDescent="0.2">
      <c r="B7" s="5" t="s">
        <v>4</v>
      </c>
      <c r="C7" t="s">
        <v>9</v>
      </c>
    </row>
    <row r="8" spans="2:16" x14ac:dyDescent="0.2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2">
      <c r="B13" s="2"/>
      <c r="C13" s="2"/>
      <c r="D13" s="2"/>
      <c r="E13" s="2"/>
      <c r="F13" s="2"/>
      <c r="G13" s="2"/>
      <c r="H13" s="2"/>
    </row>
    <row r="14" spans="2:16" x14ac:dyDescent="0.2">
      <c r="B14" s="2"/>
      <c r="C14" s="2"/>
      <c r="D14" s="2"/>
      <c r="E14" s="2"/>
      <c r="F14" s="2"/>
      <c r="G14" s="2"/>
      <c r="H14" s="2"/>
    </row>
    <row r="15" spans="2:16" x14ac:dyDescent="0.2">
      <c r="B15" s="2"/>
      <c r="C15" s="2"/>
      <c r="D15" s="2"/>
      <c r="E15" s="2"/>
      <c r="F15" s="2"/>
      <c r="G15" s="2"/>
      <c r="H15" s="2"/>
    </row>
    <row r="16" spans="2:16" x14ac:dyDescent="0.2">
      <c r="B16" s="2"/>
      <c r="C16" s="2"/>
      <c r="D16" s="2"/>
      <c r="E16" s="2"/>
      <c r="F16" s="2"/>
      <c r="G16" s="2"/>
      <c r="H16" s="2"/>
    </row>
    <row r="17" spans="2:8" x14ac:dyDescent="0.2">
      <c r="B17" s="2"/>
      <c r="C17" s="2"/>
      <c r="D17" s="2"/>
      <c r="E17" s="2"/>
      <c r="F17" s="2"/>
      <c r="G17" s="2"/>
      <c r="H17" s="2"/>
    </row>
    <row r="18" spans="2:8" x14ac:dyDescent="0.2">
      <c r="B18" s="2"/>
      <c r="C18" s="2"/>
      <c r="D18" s="2"/>
      <c r="E18" s="2"/>
      <c r="F18" s="2"/>
      <c r="G18" s="2"/>
      <c r="H18" s="2"/>
    </row>
    <row r="19" spans="2:8" x14ac:dyDescent="0.2">
      <c r="B19" s="2"/>
      <c r="C19" s="2"/>
      <c r="D19" s="2"/>
      <c r="E19" s="2"/>
      <c r="F19" s="2"/>
      <c r="G19" s="2"/>
      <c r="H19" s="2"/>
    </row>
    <row r="20" spans="2:8" x14ac:dyDescent="0.2">
      <c r="B20" s="2"/>
      <c r="C20" s="2"/>
      <c r="D20" s="2"/>
      <c r="E20" s="2"/>
      <c r="F20" s="2"/>
      <c r="G20" s="2"/>
      <c r="H20" s="2"/>
    </row>
    <row r="21" spans="2:8" x14ac:dyDescent="0.2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A1B0-62A2-46A2-87ED-621F8E1AA39F}">
  <sheetPr>
    <tabColor theme="3" tint="0.749992370372631"/>
  </sheetPr>
  <dimension ref="A1:H25"/>
  <sheetViews>
    <sheetView topLeftCell="B7" zoomScale="115" zoomScaleNormal="115" workbookViewId="0">
      <selection activeCell="O8" sqref="O8"/>
    </sheetView>
  </sheetViews>
  <sheetFormatPr defaultRowHeight="14.25" x14ac:dyDescent="0.2"/>
  <cols>
    <col min="1" max="1" width="16.125" bestFit="1" customWidth="1"/>
    <col min="2" max="2" width="25.625" customWidth="1"/>
    <col min="4" max="4" width="15" customWidth="1"/>
    <col min="6" max="6" width="16" customWidth="1"/>
    <col min="7" max="7" width="11.5" customWidth="1"/>
    <col min="8" max="8" width="9.875" customWidth="1"/>
  </cols>
  <sheetData>
    <row r="1" spans="1:7" x14ac:dyDescent="0.2">
      <c r="A1" t="s">
        <v>313</v>
      </c>
    </row>
    <row r="3" spans="1:7" x14ac:dyDescent="0.2">
      <c r="F3" s="12" t="s">
        <v>13</v>
      </c>
      <c r="G3" t="s">
        <v>316</v>
      </c>
    </row>
    <row r="5" spans="1:7" x14ac:dyDescent="0.2">
      <c r="A5" s="12" t="s">
        <v>314</v>
      </c>
      <c r="B5" t="s">
        <v>317</v>
      </c>
      <c r="F5" s="12" t="s">
        <v>314</v>
      </c>
      <c r="G5" t="s">
        <v>321</v>
      </c>
    </row>
    <row r="6" spans="1:7" x14ac:dyDescent="0.2">
      <c r="A6" s="13" t="s">
        <v>22</v>
      </c>
      <c r="B6" s="14">
        <v>444</v>
      </c>
      <c r="F6" s="13" t="s">
        <v>23</v>
      </c>
      <c r="G6" s="19">
        <v>0.49830508474576274</v>
      </c>
    </row>
    <row r="7" spans="1:7" x14ac:dyDescent="0.2">
      <c r="A7" s="13" t="s">
        <v>26</v>
      </c>
      <c r="B7" s="14">
        <v>1801</v>
      </c>
      <c r="F7" s="13" t="s">
        <v>19</v>
      </c>
      <c r="G7" s="19">
        <v>0.50169491525423726</v>
      </c>
    </row>
    <row r="8" spans="1:7" x14ac:dyDescent="0.2">
      <c r="A8" s="13" t="s">
        <v>18</v>
      </c>
      <c r="B8" s="14">
        <v>5388</v>
      </c>
      <c r="F8" s="13" t="s">
        <v>315</v>
      </c>
      <c r="G8" s="19">
        <v>1</v>
      </c>
    </row>
    <row r="9" spans="1:7" x14ac:dyDescent="0.2">
      <c r="A9" s="13" t="s">
        <v>315</v>
      </c>
      <c r="B9" s="14">
        <v>7633</v>
      </c>
      <c r="D9" s="15">
        <f>GETPIVOTDATA("Total Value",$A$5)</f>
        <v>7633</v>
      </c>
    </row>
    <row r="14" spans="1:7" x14ac:dyDescent="0.2">
      <c r="A14" t="s">
        <v>318</v>
      </c>
    </row>
    <row r="16" spans="1:7" x14ac:dyDescent="0.2">
      <c r="A16" s="12" t="s">
        <v>15</v>
      </c>
      <c r="B16" t="s">
        <v>316</v>
      </c>
    </row>
    <row r="17" spans="1:8" x14ac:dyDescent="0.2">
      <c r="G17" s="12" t="s">
        <v>13</v>
      </c>
      <c r="H17" t="s">
        <v>316</v>
      </c>
    </row>
    <row r="18" spans="1:8" x14ac:dyDescent="0.2">
      <c r="A18" s="12" t="s">
        <v>314</v>
      </c>
      <c r="B18" t="s">
        <v>317</v>
      </c>
    </row>
    <row r="19" spans="1:8" x14ac:dyDescent="0.2">
      <c r="A19" s="13" t="s">
        <v>24</v>
      </c>
      <c r="B19" s="14">
        <v>1754</v>
      </c>
      <c r="G19" s="12" t="s">
        <v>314</v>
      </c>
      <c r="H19" t="s">
        <v>321</v>
      </c>
    </row>
    <row r="20" spans="1:8" x14ac:dyDescent="0.2">
      <c r="A20" s="13" t="s">
        <v>20</v>
      </c>
      <c r="B20" s="14">
        <v>3571</v>
      </c>
      <c r="G20" s="13" t="s">
        <v>23</v>
      </c>
      <c r="H20" s="19">
        <v>0.49830508474576274</v>
      </c>
    </row>
    <row r="21" spans="1:8" x14ac:dyDescent="0.2">
      <c r="A21" s="13" t="s">
        <v>27</v>
      </c>
      <c r="B21" s="14">
        <v>2308</v>
      </c>
      <c r="G21" s="13" t="s">
        <v>19</v>
      </c>
      <c r="H21" s="19">
        <v>0.50169491525423726</v>
      </c>
    </row>
    <row r="22" spans="1:8" x14ac:dyDescent="0.2">
      <c r="A22" s="13" t="s">
        <v>315</v>
      </c>
      <c r="B22" s="14">
        <v>7633</v>
      </c>
      <c r="D22" s="15">
        <f>GETPIVOTDATA("Total Value",$A$18)</f>
        <v>7633</v>
      </c>
      <c r="G22" s="13" t="s">
        <v>315</v>
      </c>
      <c r="H22" s="19">
        <v>1</v>
      </c>
    </row>
    <row r="25" spans="1:8" ht="15" x14ac:dyDescent="0.25">
      <c r="A25" s="17" t="s">
        <v>319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1BC4-E2D2-460C-96AB-DD0685B009AA}">
  <dimension ref="A1:AJ537"/>
  <sheetViews>
    <sheetView showGridLines="0" showRowColHeaders="0" tabSelected="1" zoomScale="115" zoomScaleNormal="115" workbookViewId="0">
      <selection activeCell="I17" sqref="I17"/>
    </sheetView>
  </sheetViews>
  <sheetFormatPr defaultRowHeight="14.25" x14ac:dyDescent="0.2"/>
  <cols>
    <col min="1" max="1" width="20.125" style="3" customWidth="1"/>
    <col min="6" max="7" width="9" customWidth="1"/>
  </cols>
  <sheetData>
    <row r="1" spans="2:36" ht="45" customHeight="1" thickBot="1" x14ac:dyDescent="0.35">
      <c r="B1" s="18" t="s">
        <v>320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36" ht="15" thickTop="1" x14ac:dyDescent="0.2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</row>
    <row r="3" spans="2:36" x14ac:dyDescent="0.2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</row>
    <row r="4" spans="2:36" x14ac:dyDescent="0.2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</row>
    <row r="5" spans="2:36" ht="20.25" customHeight="1" x14ac:dyDescent="0.2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</row>
    <row r="6" spans="2:36" x14ac:dyDescent="0.2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</row>
    <row r="7" spans="2:36" x14ac:dyDescent="0.2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</row>
    <row r="8" spans="2:36" x14ac:dyDescent="0.2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</row>
    <row r="9" spans="2:36" x14ac:dyDescent="0.2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 spans="2:36" x14ac:dyDescent="0.2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</row>
    <row r="11" spans="2:36" x14ac:dyDescent="0.2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</row>
    <row r="12" spans="2:36" x14ac:dyDescent="0.2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</row>
    <row r="13" spans="2:36" x14ac:dyDescent="0.2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</row>
    <row r="14" spans="2:36" x14ac:dyDescent="0.2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</row>
    <row r="15" spans="2:36" x14ac:dyDescent="0.2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</row>
    <row r="16" spans="2:36" x14ac:dyDescent="0.2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</row>
    <row r="17" spans="2:36" x14ac:dyDescent="0.2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</row>
    <row r="18" spans="2:36" x14ac:dyDescent="0.2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19" spans="2:36" x14ac:dyDescent="0.2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</row>
    <row r="20" spans="2:36" x14ac:dyDescent="0.2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2:36" x14ac:dyDescent="0.2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2:36" x14ac:dyDescent="0.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</row>
    <row r="23" spans="2:36" x14ac:dyDescent="0.2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</row>
    <row r="24" spans="2:36" x14ac:dyDescent="0.2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</row>
    <row r="25" spans="2:36" x14ac:dyDescent="0.2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</row>
    <row r="26" spans="2:36" x14ac:dyDescent="0.2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</row>
    <row r="27" spans="2:36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</row>
    <row r="28" spans="2:36" x14ac:dyDescent="0.2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</row>
    <row r="29" spans="2:36" x14ac:dyDescent="0.2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  <row r="30" spans="2:36" x14ac:dyDescent="0.2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</row>
    <row r="31" spans="2:36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</row>
    <row r="32" spans="2:36" x14ac:dyDescent="0.2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</row>
    <row r="33" spans="2:36" x14ac:dyDescent="0.2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</row>
    <row r="34" spans="2:36" x14ac:dyDescent="0.2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</row>
    <row r="35" spans="2:36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</row>
    <row r="36" spans="2:36" x14ac:dyDescent="0.2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</row>
    <row r="37" spans="2:36" x14ac:dyDescent="0.2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</row>
    <row r="38" spans="2:36" x14ac:dyDescent="0.2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</row>
    <row r="39" spans="2:36" x14ac:dyDescent="0.2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</row>
    <row r="40" spans="2:36" x14ac:dyDescent="0.2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</row>
    <row r="41" spans="2:36" x14ac:dyDescent="0.2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</row>
    <row r="42" spans="2:36" x14ac:dyDescent="0.2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</row>
    <row r="43" spans="2:36" x14ac:dyDescent="0.2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</row>
    <row r="44" spans="2:36" x14ac:dyDescent="0.2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</row>
    <row r="45" spans="2:36" x14ac:dyDescent="0.2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</row>
    <row r="46" spans="2:36" x14ac:dyDescent="0.2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</row>
    <row r="47" spans="2:36" x14ac:dyDescent="0.2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</row>
    <row r="48" spans="2:36" x14ac:dyDescent="0.2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</row>
    <row r="49" spans="2:36" x14ac:dyDescent="0.2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</row>
    <row r="50" spans="2:36" x14ac:dyDescent="0.2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</row>
    <row r="51" spans="2:36" x14ac:dyDescent="0.2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 spans="2:36" x14ac:dyDescent="0.2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spans="2:36" x14ac:dyDescent="0.2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</row>
    <row r="54" spans="2:36" x14ac:dyDescent="0.2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</row>
    <row r="55" spans="2:36" x14ac:dyDescent="0.2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</row>
    <row r="56" spans="2:36" x14ac:dyDescent="0.2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</row>
    <row r="57" spans="2:36" x14ac:dyDescent="0.2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</row>
    <row r="58" spans="2:36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</row>
    <row r="59" spans="2:36" x14ac:dyDescent="0.2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</row>
    <row r="60" spans="2:36" x14ac:dyDescent="0.2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  <row r="61" spans="2:36" x14ac:dyDescent="0.2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</row>
    <row r="62" spans="2:36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</row>
    <row r="63" spans="2:36" x14ac:dyDescent="0.2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 spans="2:36" x14ac:dyDescent="0.2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 spans="2:36" x14ac:dyDescent="0.2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</row>
    <row r="66" spans="2:36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</row>
    <row r="67" spans="2:36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</row>
    <row r="68" spans="2:36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</row>
    <row r="69" spans="2:36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</row>
    <row r="70" spans="2:36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</row>
    <row r="71" spans="2:36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</row>
    <row r="72" spans="2:36" x14ac:dyDescent="0.2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  <row r="73" spans="2:36" x14ac:dyDescent="0.2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</row>
    <row r="74" spans="2:36" x14ac:dyDescent="0.2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</row>
    <row r="75" spans="2:36" x14ac:dyDescent="0.2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</row>
    <row r="76" spans="2:36" x14ac:dyDescent="0.2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</row>
    <row r="77" spans="2:36" x14ac:dyDescent="0.2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</row>
    <row r="78" spans="2:36" x14ac:dyDescent="0.2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</row>
    <row r="79" spans="2:36" x14ac:dyDescent="0.2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</row>
    <row r="80" spans="2:36" x14ac:dyDescent="0.2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</row>
    <row r="81" spans="2:36" x14ac:dyDescent="0.2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</row>
    <row r="82" spans="2:36" x14ac:dyDescent="0.2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</row>
    <row r="83" spans="2:36" x14ac:dyDescent="0.2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</row>
    <row r="84" spans="2:36" x14ac:dyDescent="0.2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</row>
    <row r="85" spans="2:36" x14ac:dyDescent="0.2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</row>
    <row r="86" spans="2:36" x14ac:dyDescent="0.2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</row>
    <row r="87" spans="2:36" x14ac:dyDescent="0.2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</row>
    <row r="88" spans="2:36" x14ac:dyDescent="0.2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</row>
    <row r="89" spans="2:36" x14ac:dyDescent="0.2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</row>
    <row r="90" spans="2:36" x14ac:dyDescent="0.2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</row>
    <row r="91" spans="2:36" x14ac:dyDescent="0.2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</row>
    <row r="92" spans="2:36" x14ac:dyDescent="0.2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</row>
    <row r="93" spans="2:36" x14ac:dyDescent="0.2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</row>
    <row r="94" spans="2:36" x14ac:dyDescent="0.2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</row>
    <row r="95" spans="2:36" x14ac:dyDescent="0.2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</row>
    <row r="96" spans="2:36" x14ac:dyDescent="0.2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</row>
    <row r="97" spans="2:36" x14ac:dyDescent="0.2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</row>
    <row r="98" spans="2:36" x14ac:dyDescent="0.2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spans="2:36" x14ac:dyDescent="0.2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</row>
    <row r="100" spans="2:36" x14ac:dyDescent="0.2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spans="2:36" x14ac:dyDescent="0.2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</row>
    <row r="102" spans="2:36" x14ac:dyDescent="0.2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spans="2:36" x14ac:dyDescent="0.2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</row>
    <row r="104" spans="2:36" x14ac:dyDescent="0.2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</row>
    <row r="105" spans="2:36" x14ac:dyDescent="0.2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</row>
    <row r="106" spans="2:36" x14ac:dyDescent="0.2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</row>
    <row r="107" spans="2:36" x14ac:dyDescent="0.2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</row>
    <row r="108" spans="2:36" x14ac:dyDescent="0.2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</row>
    <row r="109" spans="2:36" x14ac:dyDescent="0.2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</row>
    <row r="110" spans="2:36" x14ac:dyDescent="0.2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</row>
    <row r="111" spans="2:36" x14ac:dyDescent="0.2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</row>
    <row r="112" spans="2:36" x14ac:dyDescent="0.2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</row>
    <row r="113" spans="2:36" x14ac:dyDescent="0.2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</row>
    <row r="114" spans="2:36" x14ac:dyDescent="0.2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</row>
    <row r="115" spans="2:36" x14ac:dyDescent="0.2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</row>
    <row r="116" spans="2:36" x14ac:dyDescent="0.2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</row>
    <row r="117" spans="2:36" x14ac:dyDescent="0.2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</row>
    <row r="118" spans="2:36" x14ac:dyDescent="0.2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 spans="2:36" x14ac:dyDescent="0.2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 spans="2:36" x14ac:dyDescent="0.2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 spans="2:36" x14ac:dyDescent="0.2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 spans="2:36" x14ac:dyDescent="0.2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 spans="2:36" x14ac:dyDescent="0.2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 spans="2:36" x14ac:dyDescent="0.2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 spans="2:36" x14ac:dyDescent="0.2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 spans="2:36" x14ac:dyDescent="0.2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 spans="2:36" x14ac:dyDescent="0.2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 spans="2:36" x14ac:dyDescent="0.2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</row>
    <row r="129" spans="2:36" x14ac:dyDescent="0.2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</row>
    <row r="130" spans="2:36" x14ac:dyDescent="0.2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</row>
    <row r="131" spans="2:36" x14ac:dyDescent="0.2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</row>
    <row r="132" spans="2:36" x14ac:dyDescent="0.2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</row>
    <row r="133" spans="2:36" x14ac:dyDescent="0.2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</row>
    <row r="134" spans="2:36" x14ac:dyDescent="0.2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</row>
    <row r="135" spans="2:36" x14ac:dyDescent="0.2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 spans="2:36" x14ac:dyDescent="0.2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</row>
    <row r="137" spans="2:36" x14ac:dyDescent="0.2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</row>
    <row r="138" spans="2:36" x14ac:dyDescent="0.2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</row>
    <row r="139" spans="2:36" x14ac:dyDescent="0.2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</row>
    <row r="140" spans="2:36" x14ac:dyDescent="0.2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</row>
    <row r="141" spans="2:36" x14ac:dyDescent="0.2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</row>
    <row r="142" spans="2:36" x14ac:dyDescent="0.2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</row>
    <row r="143" spans="2:36" x14ac:dyDescent="0.2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</row>
    <row r="144" spans="2:36" x14ac:dyDescent="0.2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</row>
    <row r="145" spans="2:36" x14ac:dyDescent="0.2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</row>
    <row r="146" spans="2:36" x14ac:dyDescent="0.2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</row>
    <row r="147" spans="2:36" x14ac:dyDescent="0.2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 spans="2:36" x14ac:dyDescent="0.2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 spans="2:36" x14ac:dyDescent="0.2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 spans="2:36" x14ac:dyDescent="0.2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 spans="2:36" x14ac:dyDescent="0.2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 spans="2:36" x14ac:dyDescent="0.2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 spans="2:36" x14ac:dyDescent="0.2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 spans="2:36" x14ac:dyDescent="0.2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 spans="2:36" x14ac:dyDescent="0.2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 spans="2:36" x14ac:dyDescent="0.2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 spans="2:36" x14ac:dyDescent="0.2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 spans="2:36" x14ac:dyDescent="0.2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 spans="2:36" x14ac:dyDescent="0.2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 spans="2:36" x14ac:dyDescent="0.2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 spans="2:36" x14ac:dyDescent="0.2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 spans="2:36" x14ac:dyDescent="0.2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 spans="2:36" x14ac:dyDescent="0.2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 spans="2:36" x14ac:dyDescent="0.2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 spans="2:36" x14ac:dyDescent="0.2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 spans="2:36" x14ac:dyDescent="0.2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 spans="2:36" x14ac:dyDescent="0.2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 spans="2:36" x14ac:dyDescent="0.2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 spans="2:36" x14ac:dyDescent="0.2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 spans="2:36" x14ac:dyDescent="0.2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 spans="2:36" x14ac:dyDescent="0.2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 spans="2:36" x14ac:dyDescent="0.2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 spans="2:36" x14ac:dyDescent="0.2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 spans="2:36" x14ac:dyDescent="0.2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 spans="2:36" x14ac:dyDescent="0.2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 spans="2:36" x14ac:dyDescent="0.2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 spans="2:36" x14ac:dyDescent="0.2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 spans="2:36" x14ac:dyDescent="0.2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 spans="2:36" x14ac:dyDescent="0.2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 spans="2:36" x14ac:dyDescent="0.2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 spans="2:36" x14ac:dyDescent="0.2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 spans="2:36" x14ac:dyDescent="0.2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 spans="2:36" x14ac:dyDescent="0.2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 spans="2:36" x14ac:dyDescent="0.2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 spans="2:36" x14ac:dyDescent="0.2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 spans="2:36" x14ac:dyDescent="0.2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 spans="2:36" x14ac:dyDescent="0.2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 spans="2:36" x14ac:dyDescent="0.2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 spans="2:36" x14ac:dyDescent="0.2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 spans="2:36" x14ac:dyDescent="0.2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 spans="2:36" x14ac:dyDescent="0.2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 spans="2:36" x14ac:dyDescent="0.2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 spans="2:36" x14ac:dyDescent="0.2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 spans="2:36" x14ac:dyDescent="0.2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 spans="2:36" x14ac:dyDescent="0.2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 spans="2:36" x14ac:dyDescent="0.2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x14ac:dyDescent="0.2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x14ac:dyDescent="0.2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x14ac:dyDescent="0.2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x14ac:dyDescent="0.2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x14ac:dyDescent="0.2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x14ac:dyDescent="0.2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2:36" x14ac:dyDescent="0.2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spans="2:36" x14ac:dyDescent="0.2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spans="2:36" x14ac:dyDescent="0.2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spans="2:36" x14ac:dyDescent="0.2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spans="2:36" x14ac:dyDescent="0.2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 spans="2:36" x14ac:dyDescent="0.2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 spans="2:36" x14ac:dyDescent="0.2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 spans="2:36" x14ac:dyDescent="0.2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 spans="2:36" x14ac:dyDescent="0.2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 spans="2:36" x14ac:dyDescent="0.2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 spans="2:36" x14ac:dyDescent="0.2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</row>
    <row r="214" spans="2:36" x14ac:dyDescent="0.2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</row>
    <row r="215" spans="2:36" x14ac:dyDescent="0.2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</row>
    <row r="216" spans="2:36" x14ac:dyDescent="0.2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</row>
    <row r="217" spans="2:36" x14ac:dyDescent="0.2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</row>
    <row r="218" spans="2:36" x14ac:dyDescent="0.2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</row>
    <row r="219" spans="2:36" x14ac:dyDescent="0.2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 spans="2:36" x14ac:dyDescent="0.2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</row>
    <row r="221" spans="2:36" x14ac:dyDescent="0.2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</row>
    <row r="222" spans="2:36" x14ac:dyDescent="0.2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</row>
    <row r="223" spans="2:36" x14ac:dyDescent="0.2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</row>
    <row r="224" spans="2:36" x14ac:dyDescent="0.2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</row>
    <row r="225" spans="2:36" x14ac:dyDescent="0.2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</row>
    <row r="226" spans="2:36" x14ac:dyDescent="0.2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</row>
    <row r="227" spans="2:36" x14ac:dyDescent="0.2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</row>
    <row r="228" spans="2:36" x14ac:dyDescent="0.2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</row>
    <row r="229" spans="2:36" x14ac:dyDescent="0.2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</row>
    <row r="230" spans="2:36" x14ac:dyDescent="0.2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</row>
    <row r="231" spans="2:36" x14ac:dyDescent="0.2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</row>
    <row r="232" spans="2:36" x14ac:dyDescent="0.2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</row>
    <row r="233" spans="2:36" x14ac:dyDescent="0.2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</row>
    <row r="234" spans="2:36" x14ac:dyDescent="0.2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</row>
    <row r="235" spans="2:36" x14ac:dyDescent="0.2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</row>
    <row r="236" spans="2:36" x14ac:dyDescent="0.2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</row>
    <row r="237" spans="2:36" x14ac:dyDescent="0.2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</row>
    <row r="238" spans="2:36" x14ac:dyDescent="0.2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</row>
    <row r="239" spans="2:36" x14ac:dyDescent="0.2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</row>
    <row r="240" spans="2:36" x14ac:dyDescent="0.2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</row>
    <row r="241" spans="2:36" x14ac:dyDescent="0.2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</row>
    <row r="242" spans="2:36" x14ac:dyDescent="0.2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</row>
    <row r="243" spans="2:36" x14ac:dyDescent="0.2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</row>
    <row r="244" spans="2:36" x14ac:dyDescent="0.2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</row>
    <row r="245" spans="2:36" x14ac:dyDescent="0.2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</row>
    <row r="246" spans="2:36" x14ac:dyDescent="0.2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</row>
    <row r="247" spans="2:36" x14ac:dyDescent="0.2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</row>
    <row r="248" spans="2:36" x14ac:dyDescent="0.2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</row>
    <row r="249" spans="2:36" x14ac:dyDescent="0.2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</row>
    <row r="250" spans="2:36" x14ac:dyDescent="0.2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</row>
    <row r="251" spans="2:36" x14ac:dyDescent="0.2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</row>
    <row r="252" spans="2:36" x14ac:dyDescent="0.2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</row>
    <row r="253" spans="2:36" x14ac:dyDescent="0.2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</row>
    <row r="254" spans="2:36" x14ac:dyDescent="0.2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</row>
    <row r="255" spans="2:36" x14ac:dyDescent="0.2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</row>
    <row r="256" spans="2:36" x14ac:dyDescent="0.2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</row>
    <row r="257" spans="2:36" x14ac:dyDescent="0.2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</row>
    <row r="258" spans="2:36" x14ac:dyDescent="0.2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</row>
    <row r="259" spans="2:36" x14ac:dyDescent="0.2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</row>
    <row r="260" spans="2:36" x14ac:dyDescent="0.2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</row>
    <row r="261" spans="2:36" x14ac:dyDescent="0.2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</row>
    <row r="262" spans="2:36" x14ac:dyDescent="0.2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</row>
    <row r="263" spans="2:36" x14ac:dyDescent="0.2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</row>
    <row r="264" spans="2:36" x14ac:dyDescent="0.2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</row>
    <row r="265" spans="2:36" x14ac:dyDescent="0.2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</row>
    <row r="266" spans="2:36" x14ac:dyDescent="0.2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</row>
    <row r="267" spans="2:36" x14ac:dyDescent="0.2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</row>
    <row r="268" spans="2:36" x14ac:dyDescent="0.2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</row>
    <row r="269" spans="2:36" x14ac:dyDescent="0.2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</row>
    <row r="270" spans="2:36" x14ac:dyDescent="0.2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</row>
    <row r="271" spans="2:36" x14ac:dyDescent="0.2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</row>
    <row r="272" spans="2:36" x14ac:dyDescent="0.2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</row>
    <row r="273" spans="2:36" x14ac:dyDescent="0.2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</row>
    <row r="274" spans="2:36" x14ac:dyDescent="0.2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</row>
    <row r="275" spans="2:36" x14ac:dyDescent="0.2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</row>
    <row r="276" spans="2:36" x14ac:dyDescent="0.2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</row>
    <row r="277" spans="2:36" x14ac:dyDescent="0.2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</row>
    <row r="278" spans="2:36" x14ac:dyDescent="0.2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</row>
    <row r="279" spans="2:36" x14ac:dyDescent="0.2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</row>
    <row r="280" spans="2:36" x14ac:dyDescent="0.2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</row>
    <row r="281" spans="2:36" x14ac:dyDescent="0.2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</row>
    <row r="282" spans="2:36" x14ac:dyDescent="0.2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</row>
    <row r="283" spans="2:36" x14ac:dyDescent="0.2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</row>
    <row r="284" spans="2:36" x14ac:dyDescent="0.2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</row>
    <row r="285" spans="2:36" x14ac:dyDescent="0.2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</row>
    <row r="286" spans="2:36" x14ac:dyDescent="0.2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</row>
    <row r="287" spans="2:36" x14ac:dyDescent="0.2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</row>
    <row r="288" spans="2:36" x14ac:dyDescent="0.2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</row>
    <row r="289" spans="2:36" x14ac:dyDescent="0.2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</row>
    <row r="290" spans="2:36" x14ac:dyDescent="0.2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</row>
    <row r="291" spans="2:36" x14ac:dyDescent="0.2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</row>
    <row r="292" spans="2:36" x14ac:dyDescent="0.2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</row>
    <row r="293" spans="2:36" x14ac:dyDescent="0.2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</row>
    <row r="294" spans="2:36" x14ac:dyDescent="0.2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</row>
    <row r="295" spans="2:36" x14ac:dyDescent="0.2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</row>
    <row r="296" spans="2:36" x14ac:dyDescent="0.2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</row>
    <row r="297" spans="2:36" x14ac:dyDescent="0.2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</row>
    <row r="298" spans="2:36" x14ac:dyDescent="0.2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</row>
    <row r="299" spans="2:36" x14ac:dyDescent="0.2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</row>
    <row r="300" spans="2:36" x14ac:dyDescent="0.2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</row>
    <row r="301" spans="2:36" x14ac:dyDescent="0.2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</row>
    <row r="302" spans="2:36" x14ac:dyDescent="0.2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</row>
    <row r="303" spans="2:36" x14ac:dyDescent="0.2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</row>
    <row r="304" spans="2:36" x14ac:dyDescent="0.2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</row>
    <row r="305" spans="2:36" x14ac:dyDescent="0.2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</row>
    <row r="306" spans="2:36" x14ac:dyDescent="0.2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</row>
    <row r="307" spans="2:36" x14ac:dyDescent="0.2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</row>
    <row r="308" spans="2:36" x14ac:dyDescent="0.2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</row>
    <row r="309" spans="2:36" x14ac:dyDescent="0.2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</row>
    <row r="310" spans="2:36" x14ac:dyDescent="0.2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</row>
    <row r="311" spans="2:36" x14ac:dyDescent="0.2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</row>
    <row r="312" spans="2:36" x14ac:dyDescent="0.2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</row>
    <row r="313" spans="2:36" x14ac:dyDescent="0.2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</row>
    <row r="314" spans="2:36" x14ac:dyDescent="0.2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</row>
    <row r="315" spans="2:36" x14ac:dyDescent="0.2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 spans="2:36" x14ac:dyDescent="0.2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</row>
    <row r="317" spans="2:36" x14ac:dyDescent="0.2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</row>
    <row r="318" spans="2:36" x14ac:dyDescent="0.2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</row>
    <row r="319" spans="2:36" x14ac:dyDescent="0.2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</row>
    <row r="320" spans="2:36" x14ac:dyDescent="0.2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</row>
    <row r="321" spans="2:36" x14ac:dyDescent="0.2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</row>
    <row r="322" spans="2:36" x14ac:dyDescent="0.2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</row>
    <row r="323" spans="2:36" x14ac:dyDescent="0.2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</row>
    <row r="324" spans="2:36" x14ac:dyDescent="0.2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</row>
    <row r="325" spans="2:36" x14ac:dyDescent="0.2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</row>
    <row r="326" spans="2:36" x14ac:dyDescent="0.2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</row>
    <row r="327" spans="2:36" x14ac:dyDescent="0.2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</row>
    <row r="328" spans="2:36" x14ac:dyDescent="0.2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</row>
    <row r="329" spans="2:36" x14ac:dyDescent="0.2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</row>
    <row r="330" spans="2:36" x14ac:dyDescent="0.2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</row>
    <row r="331" spans="2:36" x14ac:dyDescent="0.2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</row>
    <row r="332" spans="2:36" x14ac:dyDescent="0.2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</row>
    <row r="333" spans="2:36" x14ac:dyDescent="0.2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</row>
    <row r="334" spans="2:36" x14ac:dyDescent="0.2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</row>
    <row r="335" spans="2:36" x14ac:dyDescent="0.2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</row>
    <row r="336" spans="2:36" x14ac:dyDescent="0.2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</row>
    <row r="337" spans="2:36" x14ac:dyDescent="0.2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</row>
    <row r="338" spans="2:36" x14ac:dyDescent="0.2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</row>
    <row r="339" spans="2:36" x14ac:dyDescent="0.2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</row>
    <row r="340" spans="2:36" x14ac:dyDescent="0.2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</row>
    <row r="341" spans="2:36" x14ac:dyDescent="0.2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</row>
    <row r="342" spans="2:36" x14ac:dyDescent="0.2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</row>
    <row r="343" spans="2:36" x14ac:dyDescent="0.2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</row>
    <row r="344" spans="2:36" x14ac:dyDescent="0.2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</row>
    <row r="345" spans="2:36" x14ac:dyDescent="0.2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</row>
    <row r="346" spans="2:36" x14ac:dyDescent="0.2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</row>
    <row r="347" spans="2:36" x14ac:dyDescent="0.2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</row>
    <row r="348" spans="2:36" x14ac:dyDescent="0.2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</row>
    <row r="349" spans="2:36" x14ac:dyDescent="0.2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</row>
    <row r="350" spans="2:36" x14ac:dyDescent="0.2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</row>
    <row r="351" spans="2:36" x14ac:dyDescent="0.2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</row>
    <row r="352" spans="2:36" x14ac:dyDescent="0.2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</row>
    <row r="353" spans="2:36" x14ac:dyDescent="0.2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</row>
    <row r="354" spans="2:36" x14ac:dyDescent="0.2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</row>
    <row r="355" spans="2:36" x14ac:dyDescent="0.2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</row>
    <row r="356" spans="2:36" x14ac:dyDescent="0.2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</row>
    <row r="357" spans="2:36" x14ac:dyDescent="0.2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</row>
    <row r="358" spans="2:36" x14ac:dyDescent="0.2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</row>
    <row r="359" spans="2:36" x14ac:dyDescent="0.2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</row>
    <row r="360" spans="2:36" x14ac:dyDescent="0.2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</row>
    <row r="361" spans="2:36" x14ac:dyDescent="0.2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</row>
    <row r="362" spans="2:36" x14ac:dyDescent="0.2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</row>
    <row r="363" spans="2:36" x14ac:dyDescent="0.2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 spans="2:36" x14ac:dyDescent="0.2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</row>
    <row r="365" spans="2:36" x14ac:dyDescent="0.2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</row>
    <row r="366" spans="2:36" x14ac:dyDescent="0.2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</row>
    <row r="367" spans="2:36" x14ac:dyDescent="0.2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</row>
    <row r="368" spans="2:36" x14ac:dyDescent="0.2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</row>
    <row r="369" spans="2:36" x14ac:dyDescent="0.2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</row>
    <row r="370" spans="2:36" x14ac:dyDescent="0.2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</row>
    <row r="371" spans="2:36" x14ac:dyDescent="0.2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</row>
    <row r="372" spans="2:36" x14ac:dyDescent="0.2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</row>
    <row r="373" spans="2:36" x14ac:dyDescent="0.2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</row>
    <row r="374" spans="2:36" x14ac:dyDescent="0.2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</row>
    <row r="375" spans="2:36" x14ac:dyDescent="0.2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 spans="2:36" x14ac:dyDescent="0.2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</row>
    <row r="377" spans="2:36" x14ac:dyDescent="0.2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</row>
    <row r="378" spans="2:36" x14ac:dyDescent="0.2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</row>
    <row r="379" spans="2:36" x14ac:dyDescent="0.2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</row>
    <row r="380" spans="2:36" x14ac:dyDescent="0.2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</row>
    <row r="381" spans="2:36" x14ac:dyDescent="0.2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</row>
    <row r="382" spans="2:36" x14ac:dyDescent="0.2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</row>
    <row r="383" spans="2:36" x14ac:dyDescent="0.2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</row>
    <row r="384" spans="2:36" x14ac:dyDescent="0.2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</row>
    <row r="385" spans="2:36" x14ac:dyDescent="0.2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</row>
    <row r="386" spans="2:36" x14ac:dyDescent="0.2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</row>
    <row r="387" spans="2:36" x14ac:dyDescent="0.2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</row>
    <row r="388" spans="2:36" x14ac:dyDescent="0.2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</row>
    <row r="389" spans="2:36" x14ac:dyDescent="0.2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</row>
    <row r="390" spans="2:36" x14ac:dyDescent="0.2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</row>
    <row r="391" spans="2:36" x14ac:dyDescent="0.2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</row>
    <row r="392" spans="2:36" x14ac:dyDescent="0.2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</row>
    <row r="393" spans="2:36" x14ac:dyDescent="0.2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</row>
    <row r="394" spans="2:36" x14ac:dyDescent="0.2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</row>
    <row r="395" spans="2:36" x14ac:dyDescent="0.2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</row>
    <row r="396" spans="2:36" x14ac:dyDescent="0.2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</row>
    <row r="397" spans="2:36" x14ac:dyDescent="0.2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</row>
    <row r="398" spans="2:36" x14ac:dyDescent="0.2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</row>
    <row r="399" spans="2:36" x14ac:dyDescent="0.2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</row>
    <row r="400" spans="2:36" x14ac:dyDescent="0.2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</row>
    <row r="401" spans="2:36" x14ac:dyDescent="0.2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</row>
    <row r="402" spans="2:36" x14ac:dyDescent="0.2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</row>
    <row r="403" spans="2:36" x14ac:dyDescent="0.2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</row>
    <row r="404" spans="2:36" x14ac:dyDescent="0.2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</row>
    <row r="405" spans="2:36" x14ac:dyDescent="0.2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</row>
    <row r="406" spans="2:36" x14ac:dyDescent="0.2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</row>
    <row r="407" spans="2:36" x14ac:dyDescent="0.2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</row>
    <row r="408" spans="2:36" x14ac:dyDescent="0.2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</row>
    <row r="409" spans="2:36" x14ac:dyDescent="0.2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</row>
    <row r="410" spans="2:36" x14ac:dyDescent="0.2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 spans="2:36" x14ac:dyDescent="0.2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 spans="2:36" x14ac:dyDescent="0.2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</row>
    <row r="413" spans="2:36" x14ac:dyDescent="0.2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</row>
    <row r="414" spans="2:36" x14ac:dyDescent="0.2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</row>
    <row r="415" spans="2:36" x14ac:dyDescent="0.2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</row>
    <row r="416" spans="2:36" x14ac:dyDescent="0.2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</row>
    <row r="417" spans="2:36" x14ac:dyDescent="0.2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</row>
    <row r="418" spans="2:36" x14ac:dyDescent="0.2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</row>
    <row r="419" spans="2:36" x14ac:dyDescent="0.2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</row>
    <row r="420" spans="2:36" x14ac:dyDescent="0.2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</row>
    <row r="421" spans="2:36" x14ac:dyDescent="0.2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 spans="2:36" x14ac:dyDescent="0.2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 spans="2:36" x14ac:dyDescent="0.2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 spans="2:36" x14ac:dyDescent="0.2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 spans="2:36" x14ac:dyDescent="0.2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 spans="2:36" x14ac:dyDescent="0.2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 spans="2:36" x14ac:dyDescent="0.2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 spans="2:36" x14ac:dyDescent="0.2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 spans="2:36" x14ac:dyDescent="0.2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 spans="2:36" x14ac:dyDescent="0.2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</row>
    <row r="431" spans="2:36" x14ac:dyDescent="0.2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</row>
    <row r="432" spans="2:36" x14ac:dyDescent="0.2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</row>
    <row r="433" spans="2:36" x14ac:dyDescent="0.2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</row>
    <row r="434" spans="2:36" x14ac:dyDescent="0.2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</row>
    <row r="435" spans="2:36" x14ac:dyDescent="0.2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</row>
    <row r="436" spans="2:36" x14ac:dyDescent="0.2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</row>
    <row r="437" spans="2:36" x14ac:dyDescent="0.2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</row>
    <row r="438" spans="2:36" x14ac:dyDescent="0.2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</row>
    <row r="439" spans="2:36" x14ac:dyDescent="0.2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</row>
    <row r="440" spans="2:36" x14ac:dyDescent="0.2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</row>
    <row r="441" spans="2:36" x14ac:dyDescent="0.2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</row>
    <row r="442" spans="2:36" x14ac:dyDescent="0.2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</row>
    <row r="443" spans="2:36" x14ac:dyDescent="0.2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</row>
    <row r="444" spans="2:36" x14ac:dyDescent="0.2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</row>
    <row r="445" spans="2:36" x14ac:dyDescent="0.2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</row>
    <row r="446" spans="2:36" x14ac:dyDescent="0.2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</row>
    <row r="447" spans="2:36" x14ac:dyDescent="0.2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</row>
    <row r="448" spans="2:36" x14ac:dyDescent="0.2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</row>
    <row r="449" spans="2:36" x14ac:dyDescent="0.2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</row>
    <row r="450" spans="2:36" x14ac:dyDescent="0.2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</row>
    <row r="451" spans="2:36" x14ac:dyDescent="0.2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</row>
    <row r="452" spans="2:36" x14ac:dyDescent="0.2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</row>
    <row r="453" spans="2:36" x14ac:dyDescent="0.2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</row>
    <row r="454" spans="2:36" x14ac:dyDescent="0.2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</row>
    <row r="455" spans="2:36" x14ac:dyDescent="0.2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</row>
    <row r="456" spans="2:36" x14ac:dyDescent="0.2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</row>
    <row r="457" spans="2:36" x14ac:dyDescent="0.2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</row>
    <row r="458" spans="2:36" x14ac:dyDescent="0.2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</row>
    <row r="459" spans="2:36" x14ac:dyDescent="0.2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</row>
    <row r="460" spans="2:36" x14ac:dyDescent="0.2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</row>
    <row r="461" spans="2:36" x14ac:dyDescent="0.2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</row>
    <row r="462" spans="2:36" x14ac:dyDescent="0.2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</row>
    <row r="463" spans="2:36" x14ac:dyDescent="0.2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</row>
    <row r="464" spans="2:36" x14ac:dyDescent="0.2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</row>
    <row r="465" spans="2:36" x14ac:dyDescent="0.2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</row>
    <row r="466" spans="2:36" x14ac:dyDescent="0.2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</row>
    <row r="467" spans="2:36" x14ac:dyDescent="0.2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</row>
    <row r="468" spans="2:36" x14ac:dyDescent="0.2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</row>
    <row r="469" spans="2:36" x14ac:dyDescent="0.2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</row>
    <row r="470" spans="2:36" x14ac:dyDescent="0.2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</row>
    <row r="471" spans="2:36" x14ac:dyDescent="0.2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</row>
    <row r="472" spans="2:36" x14ac:dyDescent="0.2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</row>
    <row r="473" spans="2:36" x14ac:dyDescent="0.2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</row>
    <row r="474" spans="2:36" x14ac:dyDescent="0.2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</row>
    <row r="475" spans="2:36" x14ac:dyDescent="0.2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</row>
    <row r="476" spans="2:36" x14ac:dyDescent="0.2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</row>
    <row r="477" spans="2:36" x14ac:dyDescent="0.2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</row>
    <row r="478" spans="2:36" x14ac:dyDescent="0.2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</row>
    <row r="479" spans="2:36" x14ac:dyDescent="0.2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</row>
    <row r="480" spans="2:36" x14ac:dyDescent="0.2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</row>
    <row r="481" spans="2:36" x14ac:dyDescent="0.2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</row>
    <row r="482" spans="2:36" x14ac:dyDescent="0.2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</row>
    <row r="483" spans="2:36" x14ac:dyDescent="0.2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</row>
    <row r="484" spans="2:36" x14ac:dyDescent="0.2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</row>
    <row r="485" spans="2:36" x14ac:dyDescent="0.2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</row>
    <row r="486" spans="2:36" x14ac:dyDescent="0.2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</row>
    <row r="487" spans="2:36" x14ac:dyDescent="0.2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</row>
    <row r="488" spans="2:36" x14ac:dyDescent="0.2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</row>
    <row r="489" spans="2:36" x14ac:dyDescent="0.2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</row>
    <row r="490" spans="2:36" x14ac:dyDescent="0.2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</row>
    <row r="491" spans="2:36" x14ac:dyDescent="0.2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</row>
    <row r="492" spans="2:36" x14ac:dyDescent="0.2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</row>
    <row r="493" spans="2:36" x14ac:dyDescent="0.2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</row>
    <row r="494" spans="2:36" x14ac:dyDescent="0.2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</row>
    <row r="495" spans="2:36" x14ac:dyDescent="0.2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</row>
    <row r="496" spans="2:36" x14ac:dyDescent="0.2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</row>
    <row r="497" spans="2:36" x14ac:dyDescent="0.2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</row>
    <row r="498" spans="2:36" x14ac:dyDescent="0.2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</row>
    <row r="499" spans="2:36" x14ac:dyDescent="0.2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</row>
    <row r="500" spans="2:36" x14ac:dyDescent="0.2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 spans="2:36" x14ac:dyDescent="0.2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 spans="2:36" x14ac:dyDescent="0.2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 spans="2:36" x14ac:dyDescent="0.2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 spans="2:36" x14ac:dyDescent="0.2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 spans="2:36" x14ac:dyDescent="0.2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 spans="2:36" x14ac:dyDescent="0.2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 spans="2:36" x14ac:dyDescent="0.2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 spans="2:36" x14ac:dyDescent="0.2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 spans="2:36" x14ac:dyDescent="0.2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 spans="2:36" x14ac:dyDescent="0.2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 spans="2:36" x14ac:dyDescent="0.2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 spans="2:36" x14ac:dyDescent="0.2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 spans="2:36" x14ac:dyDescent="0.2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 spans="2:36" x14ac:dyDescent="0.2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 spans="2:36" x14ac:dyDescent="0.2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 spans="2:36" x14ac:dyDescent="0.2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 spans="2:36" x14ac:dyDescent="0.2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 spans="2:36" x14ac:dyDescent="0.2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 spans="2:36" x14ac:dyDescent="0.2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 spans="2:36" x14ac:dyDescent="0.2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 spans="2:36" x14ac:dyDescent="0.2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 spans="2:36" x14ac:dyDescent="0.2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 spans="2:36" x14ac:dyDescent="0.2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 spans="2:36" x14ac:dyDescent="0.2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 spans="2:36" x14ac:dyDescent="0.2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 spans="2:36" x14ac:dyDescent="0.2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 spans="2:36" x14ac:dyDescent="0.2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 spans="2:36" x14ac:dyDescent="0.2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 spans="2:36" x14ac:dyDescent="0.2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 spans="2:36" x14ac:dyDescent="0.2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 spans="2:36" x14ac:dyDescent="0.2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 spans="2:36" x14ac:dyDescent="0.2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 spans="2:36" x14ac:dyDescent="0.2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 spans="2:36" x14ac:dyDescent="0.2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 spans="2:36" x14ac:dyDescent="0.2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 spans="2:36" x14ac:dyDescent="0.2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 spans="2:36" x14ac:dyDescent="0.2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B̳ases</vt:lpstr>
      <vt:lpstr>A̳ssets</vt:lpstr>
      <vt:lpstr>Calculo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ANDREIA CRUZ DA ROCHA</cp:lastModifiedBy>
  <dcterms:created xsi:type="dcterms:W3CDTF">2024-12-19T13:13:10Z</dcterms:created>
  <dcterms:modified xsi:type="dcterms:W3CDTF">2026-06-10T22:21:50Z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